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C4124F0C-4EBF-49F5-8299-4651057D9DA3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quirements Tracker" sheetId="1" r:id="rId1"/>
    <sheet name="Status Summary" sheetId="2" r:id="rId2"/>
    <sheet name="Source Note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7" i="2"/>
  <c r="B6" i="2"/>
  <c r="B5" i="2"/>
  <c r="B4" i="2"/>
  <c r="B3" i="2"/>
  <c r="B2" i="2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the dropdown to select: Pending, In Progress, Completed, Blocked, Dependency, or Cancelled.</t>
        </r>
      </text>
    </comment>
  </commentList>
</comments>
</file>

<file path=xl/sharedStrings.xml><?xml version="1.0" encoding="utf-8"?>
<sst xmlns="http://schemas.openxmlformats.org/spreadsheetml/2006/main" count="605" uniqueCount="413">
  <si>
    <t>ID</t>
  </si>
  <si>
    <t>Category</t>
  </si>
  <si>
    <t>Requirement / Capability</t>
  </si>
  <si>
    <t>Requirement Details</t>
  </si>
  <si>
    <t>User Story</t>
  </si>
  <si>
    <t>Status</t>
  </si>
  <si>
    <t>Priority</t>
  </si>
  <si>
    <t>System(s) / Data Source(s)</t>
  </si>
  <si>
    <t>Notes</t>
  </si>
  <si>
    <t>REQ-001</t>
  </si>
  <si>
    <t>Business Rules &amp; Policies</t>
  </si>
  <si>
    <t>30-Day Rehire Policy validation</t>
  </si>
  <si>
    <t>Validate whether an onboarding worker falls within the 30-day rehire policy window and flag the record for business review when applicable.</t>
  </si>
  <si>
    <t>As an IAM reviewer, I want the system to flag workers within the 30-day rehire window so that I can prevent processing contracts that require additional review.</t>
  </si>
  <si>
    <t>Pending</t>
  </si>
  <si>
    <t>High</t>
  </si>
  <si>
    <t>Roster Lock, Master Roster, Fieldglass, historical termination data</t>
  </si>
  <si>
    <t>Business rule must be formally confirmed and documented.</t>
  </si>
  <si>
    <t>REQ-003</t>
  </si>
  <si>
    <t>Blacklist validation / don't rehire list</t>
  </si>
  <si>
    <t>Flag users that match blacklist or restricted worker lists during onboarding validation (Roster locks)</t>
  </si>
  <si>
    <t>As an IAM reviewer, I want blacklisted workers to be flagged automatically so that restricted users are not approved without review.</t>
  </si>
  <si>
    <t>Roster Lock, Fieldglass, blacklist source</t>
  </si>
  <si>
    <t>Requires approved blacklist source and access permissions.</t>
  </si>
  <si>
    <t>REQ-004</t>
  </si>
  <si>
    <t>Duplicate worker detection</t>
  </si>
  <si>
    <t>Detect duplicate worker submissions or duplicate change requests before processing or publishing updates.</t>
  </si>
  <si>
    <t>As an administrator, I want duplicate worker records and duplicate requests to be detected so that the same change is not applied multiple times.</t>
  </si>
  <si>
    <t>Application database, intake files</t>
  </si>
  <si>
    <t>Unique identifier logic must be defined.</t>
  </si>
  <si>
    <t>REQ-005</t>
  </si>
  <si>
    <t>Active-worker validation</t>
  </si>
  <si>
    <t>Validate whether a worker is active across KP systems and vendor sources before approving onboarding or access-related actions.</t>
  </si>
  <si>
    <t>As an IAM reviewer, I want active-worker status validated across systems so that onboarding and access decisions are based on current worker status.</t>
  </si>
  <si>
    <t>Fieldglass, AccessNow, Roster Lock, vendor files</t>
  </si>
  <si>
    <t>Need agreed definition of active worker.</t>
  </si>
  <si>
    <t>REQ-006</t>
  </si>
  <si>
    <t>NPN validation workflow</t>
  </si>
  <si>
    <t>Support NPN validation before enrollment; allow validated users to be identified before enrollment is sent to Darlene/evolveNXT.</t>
  </si>
  <si>
    <t>As an IAM team member, I want NPN validation captured in the roster process so that only validated users are sent for enrollment.</t>
  </si>
  <si>
    <t>Low</t>
  </si>
  <si>
    <t>Roster Lock, NPN validation file</t>
  </si>
  <si>
    <t>Column/process needs to be added to template and SOP.</t>
  </si>
  <si>
    <t>REQ-007</t>
  </si>
  <si>
    <t>Contract start/end date validation</t>
  </si>
  <si>
    <t>Validate contract dates and worker start/end dates from Fieldglass before processing.</t>
  </si>
  <si>
    <t>As an administrator, I want contract dates validated so that worker records align to active agreements and onboarding dates.</t>
  </si>
  <si>
    <t>Fieldglass, Roster Lock</t>
  </si>
  <si>
    <t>Fieldglass report fields must be available.</t>
  </si>
  <si>
    <t>REQ-008</t>
  </si>
  <si>
    <t>Mandatory field validation</t>
  </si>
  <si>
    <t>Prevent processing when required intake fields are missing, incomplete, or invalid.</t>
  </si>
  <si>
    <t>As an IAM requester, I want the system to show missing required fields so that I can correct records before submission.</t>
  </si>
  <si>
    <t>Roster Lock, Fieldglass imports</t>
  </si>
  <si>
    <t>Required fields must be defined in data dictionary/template.</t>
  </si>
  <si>
    <t>REQ-009</t>
  </si>
  <si>
    <t>Onboarding Timing Rules</t>
  </si>
  <si>
    <t>Roster Lock submission deadline validation</t>
  </si>
  <si>
    <t>Track and validate whether Roster Lock is submitted within the required deadline before onboarding.</t>
  </si>
  <si>
    <t>As an IAM Team member, I want the system to identify late Roster Lock submissions so that onboarding delays and risk can be addressed.</t>
  </si>
  <si>
    <t>Roster Lock, onboarding schedule</t>
  </si>
  <si>
    <t>Current meeting notes reference 5 days before onboarding with a desired extension to two weeks.</t>
  </si>
  <si>
    <t>REQ-010</t>
  </si>
  <si>
    <t>Fieldglass acceptance timing check</t>
  </si>
  <si>
    <t>Track whether workers are accepted in Fieldglass prior to formal start date.</t>
  </si>
  <si>
    <t>As an IAM team member, I want Fieldglass acceptance timing visible so that I can identify late or missing entries before onboarding begins.</t>
  </si>
  <si>
    <t>Fieldglass</t>
  </si>
  <si>
    <t>Pending to confirm acceptance time frames before formal start.</t>
  </si>
  <si>
    <t>REQ-011</t>
  </si>
  <si>
    <t>Missed milestone alerts</t>
  </si>
  <si>
    <t>Generate alerts when onboarding records, validations, or approvals miss expected milestone dates.</t>
  </si>
  <si>
    <t>As an IAM administrator, I want missed milestone alerts so that I can escalate delays before onboarding is impacted.</t>
  </si>
  <si>
    <t>Medium</t>
  </si>
  <si>
    <t>Roster Lock, Fieldglass, workflow tracker</t>
  </si>
  <si>
    <t>Milestones and SLA thresholds must be defined.</t>
  </si>
  <si>
    <t>REQ-012</t>
  </si>
  <si>
    <t>Source of Truth</t>
  </si>
  <si>
    <t>Centralized worker source of truth</t>
  </si>
  <si>
    <t>Create a centralized worker record that consolidates key data from Roster Lock, Master Roster, Fieldglass, Staffing Plan, AccessNow, Salesforce, CXOne, and NICE IEX.</t>
  </si>
  <si>
    <t>As an IAM leader, I want a centralized source of truth so that worker status and access-related decisions are based on consolidated data.</t>
  </si>
  <si>
    <t>Roster Lock, Master Roster, Fieldglass, Staffing Plan, AccessNow, Salesforce, CXOne, NICE IEX</t>
  </si>
  <si>
    <t>Data ownership, field mapping, and source precedence must be defined.</t>
  </si>
  <si>
    <t>REQ-013</t>
  </si>
  <si>
    <t>Unified worker profile</t>
  </si>
  <si>
    <t>Maintain a single worker profile with vendor, role, contract, dates, manager/sponsor, worker status, and system readiness information.</t>
  </si>
  <si>
    <t>As an IAM user, I want one consolidated worker profile so that I do not need to compare multiple reports manually.</t>
  </si>
  <si>
    <t>Fieldglass, Roster Lock, AccessNow, Master Roster</t>
  </si>
  <si>
    <t>Field definitions must be aligned.</t>
  </si>
  <si>
    <t>REQ-014</t>
  </si>
  <si>
    <t>Source precedence rules</t>
  </si>
  <si>
    <t>Define which system is authoritative for each key field when data conflicts occur.</t>
  </si>
  <si>
    <t>As an administrator, I want source precedence rules so that conflicting data can be resolved consistently.</t>
  </si>
  <si>
    <t>All source systems</t>
  </si>
  <si>
    <t>Requires business alignment across IAM, WFM, and stakeholders.</t>
  </si>
  <si>
    <t>REQ-016</t>
  </si>
  <si>
    <t>Vendor ownership identification</t>
  </si>
  <si>
    <t>Capture vendor attribution for each worker to support auditing and reconciliation.</t>
  </si>
  <si>
    <t>As an IAM team member, I want each worker tied to a vendor so that discrepancies can be assigned and corrected.</t>
  </si>
  <si>
    <t>Fieldglass, vendor hierarchy files, Roster Lock</t>
  </si>
  <si>
    <t>Requires consistent vendor identifiers.</t>
  </si>
  <si>
    <t>REQ-017</t>
  </si>
  <si>
    <t>Reconciliation</t>
  </si>
  <si>
    <t>Roster Lock vs Fieldglass reconciliation</t>
  </si>
  <si>
    <t>Compare Roster Lock records against Fieldglass records to identify missing, extra, or mismatched workers.</t>
  </si>
  <si>
    <t>As an IAM analyst, I want Roster Lock and Fieldglass compared automatically so that discrepancies are visible without manual VLOOKUPs.</t>
  </si>
  <si>
    <t>Roster Lock, Fieldglass</t>
  </si>
  <si>
    <t>Initial weekly crossmatch was discussed.</t>
  </si>
  <si>
    <t>REQ-018</t>
  </si>
  <si>
    <t>Roster Lock vs Staffing Plan reconciliation</t>
  </si>
  <si>
    <t>Compare Roster Lock against the staffing plan to validate expected hires and headcount.</t>
  </si>
  <si>
    <t>As an IAM analyst, I want Roster Lock compared to staffing plan data so that expected hires align to vendor submissions.</t>
  </si>
  <si>
    <t>Roster Lock, Staffing Plan</t>
  </si>
  <si>
    <t>Requires Staffing Plan source and agreed fields.</t>
  </si>
  <si>
    <t>REQ-019</t>
  </si>
  <si>
    <t>Fieldglass vs AccessNow reconciliation</t>
  </si>
  <si>
    <t>Compare Fieldglass worker records to AccessNow information to identify access or worker status gaps.</t>
  </si>
  <si>
    <t>As an IAM analyst, I want Fieldglass compared with AccessNow so that worker access records can be validated.</t>
  </si>
  <si>
    <t>Fieldglass, AccessNow</t>
  </si>
  <si>
    <t>AccessNow data availability and reporting process must be confirmed. (Active worker vs inactive)</t>
  </si>
  <si>
    <t>REQ-021</t>
  </si>
  <si>
    <t>Vendor discrepancy reporting</t>
  </si>
  <si>
    <t>Generate a list of discrepancies categorized by vendor, issue type, and action required.</t>
  </si>
  <si>
    <t>As an IAM analyst, I want discrepancies categorized by vendor so that follow-up can be assigned quickly.</t>
  </si>
  <si>
    <t>All intake and reconciliation sources</t>
  </si>
  <si>
    <t>Requires discrepancy categories.</t>
  </si>
  <si>
    <t>REQ-022</t>
  </si>
  <si>
    <t>Workflow Automation</t>
  </si>
  <si>
    <t>Automated Roster Lock ingestion</t>
  </si>
  <si>
    <t>Detect and ingest Roster Lock files from the shared SharePoint location.</t>
  </si>
  <si>
    <t>As an administrator, I want Roster Lock files ingested automatically so that manual consolidation is reduced.</t>
  </si>
  <si>
    <t>SharePoint, Roster Lock</t>
  </si>
  <si>
    <t>Folder structure and permissions must be finalized.</t>
  </si>
  <si>
    <t>REQ-023</t>
  </si>
  <si>
    <t>Automated Fieldglass import</t>
  </si>
  <si>
    <t>Import Fieldglass reports and allow review of changes before applying them to the database.</t>
  </si>
  <si>
    <t>As an administrator, I want Fieldglass imports reviewed before publication so that data quality is controlled.</t>
  </si>
  <si>
    <t>Fieldglass report, SharePoint</t>
  </si>
  <si>
    <t>Depends on access to complete Fieldglass reports.</t>
  </si>
  <si>
    <t>REQ-024</t>
  </si>
  <si>
    <t>File validation before processing</t>
  </si>
  <si>
    <t>Validate imported files for format, required columns, and duplicated submissions before workflow processing.</t>
  </si>
  <si>
    <t>As an administrator, I want file validation before processing so that invalid imports do not corrupt the source of truth.</t>
  </si>
  <si>
    <t>SharePoint, intake templates</t>
  </si>
  <si>
    <t>Template requirements must be finalized.</t>
  </si>
  <si>
    <t>REQ-025</t>
  </si>
  <si>
    <t>Preview changes before publishing</t>
  </si>
  <si>
    <t>Display proposed changes for administrator review before updating the database.</t>
  </si>
  <si>
    <t>As an administrator, I want to preview changes before publishing so that I can prevent incorrect updates.</t>
  </si>
  <si>
    <t>Application database, import files</t>
  </si>
  <si>
    <t>Part of single-writer controlled update model.</t>
  </si>
  <si>
    <t>REQ-026</t>
  </si>
  <si>
    <t>Exception handling for invalid records</t>
  </si>
  <si>
    <t>Route invalid, conflicting, or incomplete records to an exception or quarantine process.</t>
  </si>
  <si>
    <t>As an administrator, I want invalid records routed to exception handling so that normal processing can continue safely.</t>
  </si>
  <si>
    <t>Application workflow</t>
  </si>
  <si>
    <t>Exception categories must be defined.</t>
  </si>
  <si>
    <t>REQ-027</t>
  </si>
  <si>
    <t>Template-based imports</t>
  </si>
  <si>
    <t>Use controlled intake templates to standardize imports and reduce data variation.</t>
  </si>
  <si>
    <t>As an IAM requester, I want standardized templates so that submissions are complete and consistent.</t>
  </si>
  <si>
    <t>Roster Lock template, Fieldglass report</t>
  </si>
  <si>
    <t>Template and data dictionary alignment required.</t>
  </si>
  <si>
    <t>REQ-028</t>
  </si>
  <si>
    <t>Review &amp; Approval</t>
  </si>
  <si>
    <t>Under Review status</t>
  </si>
  <si>
    <t>Include an Under Review status for records requiring business validation before approval or rejection.</t>
  </si>
  <si>
    <t>As an IAM analyst, I want records to move into Under Review status so that business cases can be assessed before processing.</t>
  </si>
  <si>
    <t>Business logic cases must be documented.</t>
  </si>
  <si>
    <t>REQ-029</t>
  </si>
  <si>
    <t>Approval and rejection workflow</t>
  </si>
  <si>
    <t>Allow authorized users to approve or reject requests and record the decision.</t>
  </si>
  <si>
    <t>As an IAM Analyst, I want to approve or reject requests so that each decision is traceable and controlled.</t>
  </si>
  <si>
    <t>Decision reasons should be captured.</t>
  </si>
  <si>
    <t>REQ-030</t>
  </si>
  <si>
    <t>Quarantine workflow</t>
  </si>
  <si>
    <t>Place conflicting or disputed changes into quarantine until an authorized decision is made.</t>
  </si>
  <si>
    <t>As an administrator, I want conflicting records quarantined so that updates are not overwritten or corrupted.</t>
  </si>
  <si>
    <t>Application workflow, database</t>
  </si>
  <si>
    <t>Requires conflict resolution criteria.</t>
  </si>
  <si>
    <t>REQ-031</t>
  </si>
  <si>
    <t>Multiple request states</t>
  </si>
  <si>
    <t>Support statuses such as Approved, Rejected, Pending, Under Review, Quarantine, and Published.</t>
  </si>
  <si>
    <t>As an IAM analyst, I want request statuses visible so that I can understand where each item is in the process.</t>
  </si>
  <si>
    <t>Status naming must align to business process.</t>
  </si>
  <si>
    <t>REQ-032</t>
  </si>
  <si>
    <t>Change Management</t>
  </si>
  <si>
    <t>Single-writer model</t>
  </si>
  <si>
    <t>Ensure only one authorized administrator can apply approved changes directly to the database.</t>
  </si>
  <si>
    <t>As an admin, I want a single-writer model so that database updates remain controlled and auditable.</t>
  </si>
  <si>
    <t>Application database</t>
  </si>
  <si>
    <t>Discussed as a security and data integrity control.</t>
  </si>
  <si>
    <t>REQ-033</t>
  </si>
  <si>
    <t>Draft vs Published states</t>
  </si>
  <si>
    <t>Separate draft/imported changes from published database records until approval is complete.</t>
  </si>
  <si>
    <t>As an administrator, I want draft and published data separated so that unapproved changes do not affect the source of truth.</t>
  </si>
  <si>
    <t>Publication flow must be designed.</t>
  </si>
  <si>
    <t>REQ-034</t>
  </si>
  <si>
    <t>Version control for updates</t>
  </si>
  <si>
    <t>Maintain versions of changes, publications, and database snapshots for rollback and audit.</t>
  </si>
  <si>
    <t>As an auditor, I want version history so that I can see what changed and when.</t>
  </si>
  <si>
    <t>Application database, SharePoint</t>
  </si>
  <si>
    <t>Requires snapshot storage and retention policy.</t>
  </si>
  <si>
    <t>REQ-035</t>
  </si>
  <si>
    <t>User Roles &amp; Security</t>
  </si>
  <si>
    <t>Requester role</t>
  </si>
  <si>
    <t>Allow requesters to submit requests and verify workflow behavior without direct database write access.</t>
  </si>
  <si>
    <t>As a requester, I want to submit requests safely so that changes can be reviewed before they are applied.</t>
  </si>
  <si>
    <t>Application</t>
  </si>
  <si>
    <t>Role permissions must be finalized.</t>
  </si>
  <si>
    <t>REQ-036</t>
  </si>
  <si>
    <t>Reviewer role</t>
  </si>
  <si>
    <t>Allow reviewers to validate information and recommend approval, rejection, or quarantine.</t>
  </si>
  <si>
    <t>As a IAM Analyst , I want access to review records so that business validations can be completed before approval.</t>
  </si>
  <si>
    <t>REQ-037</t>
  </si>
  <si>
    <t>Administrator role</t>
  </si>
  <si>
    <t>Allow administrators to import, approve, reject, publish, recover, and maintain data according to permissions.</t>
  </si>
  <si>
    <t>As an administrator, I want controlled administrative permissions so that I can safely manage the application and database.</t>
  </si>
  <si>
    <t>Application, database, SharePoint</t>
  </si>
  <si>
    <t>Administrative responsibilities must be documented.</t>
  </si>
  <si>
    <t>REQ-038</t>
  </si>
  <si>
    <t>Auditor role</t>
  </si>
  <si>
    <t>Allow auditors to review actions, decisions, and logs without changing data.</t>
  </si>
  <si>
    <t>As an IAM Analyst, I want read-only audit access so that I can verify compliance without modifying records.</t>
  </si>
  <si>
    <t>Audit logs, application database</t>
  </si>
  <si>
    <t>Read-only access model required.</t>
  </si>
  <si>
    <t>REQ-039</t>
  </si>
  <si>
    <t>Master Admin role</t>
  </si>
  <si>
    <t>Maintain a master/system admin role for application-level configuration, user management, and technical control.</t>
  </si>
  <si>
    <t>As a system owner, I want a master admin role so that application configuration and technical support can be controlled.</t>
  </si>
  <si>
    <t>Separation from business administrator should be defined.</t>
  </si>
  <si>
    <t>REQ-040</t>
  </si>
  <si>
    <t>Temporary delegated permissions</t>
  </si>
  <si>
    <t>Allow limited temporary permissions where needed for continuity, with traceability.</t>
  </si>
  <si>
    <t>As an administrator, I want temporary delegated access so that operations can continue during absences while maintaining traceability.</t>
  </si>
  <si>
    <t>Delegation duration and approval rules needed.</t>
  </si>
  <si>
    <t>REQ-041</t>
  </si>
  <si>
    <t>Dual authentication</t>
  </si>
  <si>
    <t>Require application authentication and Windows/user validation before allowing access.</t>
  </si>
  <si>
    <t>As a system owner, I want dual authentication so that only authorized users can operate under their own identity.</t>
  </si>
  <si>
    <t>Application, Windows credentials</t>
  </si>
  <si>
    <t>Authentication method must be validated with IT/security.</t>
  </si>
  <si>
    <t>REQ-042</t>
  </si>
  <si>
    <t>Audit &amp; Governance</t>
  </si>
  <si>
    <t>Immutable audit logs</t>
  </si>
  <si>
    <t>Create immutable logs for requests, changes, decisions, approvals, and publication events.</t>
  </si>
  <si>
    <t>As an auditor, I want immutable logs so that historical actions cannot be altered after the fact.</t>
  </si>
  <si>
    <t>Application, SharePoint</t>
  </si>
  <si>
    <t>Storage and retention policy needed.</t>
  </si>
  <si>
    <t>REQ-043</t>
  </si>
  <si>
    <t>User/device/timestamp tracking</t>
  </si>
  <si>
    <t>Record user, device, and timestamp for each access, action, and attempted change.</t>
  </si>
  <si>
    <t>As an auditor, I want user, device, and timestamp tracking so that accountability is clear for every action.</t>
  </si>
  <si>
    <t>Application logs</t>
  </si>
  <si>
    <t>Must align with security expectations.</t>
  </si>
  <si>
    <t>REQ-044</t>
  </si>
  <si>
    <t>Decision history</t>
  </si>
  <si>
    <t>Capture the decision history for approvals, rejections, quarantine actions, and recovered records.</t>
  </si>
  <si>
    <t>As an IAM lead, I want decision history so that business outcomes are traceable.</t>
  </si>
  <si>
    <t>Decision reason codes may be needed.</t>
  </si>
  <si>
    <t>REQ-045</t>
  </si>
  <si>
    <t>Data lineage tracking</t>
  </si>
  <si>
    <t>Track the source of each key data element and how it entered the source of truth.</t>
  </si>
  <si>
    <t>As an IAM Analyst, I want data lineage so that discrepancies can be traced back to their source.</t>
  </si>
  <si>
    <t>Requires data mapping and source tracking.</t>
  </si>
  <si>
    <t>REQ-046</t>
  </si>
  <si>
    <t>SLA &amp; Notifications</t>
  </si>
  <si>
    <t>SLA definitions by process type</t>
  </si>
  <si>
    <t>Define SLA expectations and due dates by request/process type.</t>
  </si>
  <si>
    <t>As an IAM lead, I want SLA targets by process type so that performance and escalations can be managed.</t>
  </si>
  <si>
    <t>SLA targets must be agreed.</t>
  </si>
  <si>
    <t>REQ-047</t>
  </si>
  <si>
    <t>SLA countdown and aging tracking</t>
  </si>
  <si>
    <t>Track request age and SLA countdown similar to operational ticketing expectations.</t>
  </si>
  <si>
    <t>As an IAM administrator, I want SLA aging visible so that at-risk requests can be prioritized.</t>
  </si>
  <si>
    <t>Requires SLA configuration.</t>
  </si>
  <si>
    <t>REQ-048</t>
  </si>
  <si>
    <t>Escalation notifications</t>
  </si>
  <si>
    <t>Send escalation notifications when pending items or SLA risks require action.</t>
  </si>
  <si>
    <t>As an IAM lead, I want escalation alerts so that delayed items are addressed before they become risks.</t>
  </si>
  <si>
    <t>Application workflow, email/Teams notification</t>
  </si>
  <si>
    <t>Escalation path must be defined.</t>
  </si>
  <si>
    <t>REQ-049</t>
  </si>
  <si>
    <t>Validation failure notifications</t>
  </si>
  <si>
    <t>Notify responsible users when file imports or worker validations fail.</t>
  </si>
  <si>
    <t>As a requester, I want validation failure notifications so that I can correct issues quickly.</t>
  </si>
  <si>
    <t>Application notification engine</t>
  </si>
  <si>
    <t>Notification channel must be determined.</t>
  </si>
  <si>
    <t>REQ-050</t>
  </si>
  <si>
    <t>Reporting &amp; Dashboard</t>
  </si>
  <si>
    <t>Executive dashboard</t>
  </si>
  <si>
    <t>Provide leadership visibility into onboarding status, active workers, offboarding status, vendor metrics, SLA compliance, exceptions, and reconciliation.</t>
  </si>
  <si>
    <t>As a leader, I want an executive dashboard so that I can monitor IAM automation and governance outcomes.</t>
  </si>
  <si>
    <t>Dashboard scope and metrics must be confirmed.</t>
  </si>
  <si>
    <t>REQ-051</t>
  </si>
  <si>
    <t>Operational dashboard</t>
  </si>
  <si>
    <t>Provide daily/weekly operational views of pending, blocked, in-progress, and completed workflow items.</t>
  </si>
  <si>
    <t>As an IAM administrator, I want operational dashboard views so that I can manage workload and follow-ups.</t>
  </si>
  <si>
    <t>Status definitions must be finalized.</t>
  </si>
  <si>
    <t>REQ-052</t>
  </si>
  <si>
    <t>Weekly reconciliation report</t>
  </si>
  <si>
    <t>Produce a weekly reconciliation report comparing Roster Lock, Fieldglass, staffing plan, and headcount.</t>
  </si>
  <si>
    <t>As an IAM analyst, I want a weekly reconciliation report so that discrepancies are reviewed on a regular cadence.</t>
  </si>
  <si>
    <t>Roster Lock, Fieldglass, Staffing Plan, headcount</t>
  </si>
  <si>
    <t>Smartsheet/template approach was discussed.</t>
  </si>
  <si>
    <t>REQ-053</t>
  </si>
  <si>
    <t>Offboarding compliance report</t>
  </si>
  <si>
    <t>Track terminations and offboarding compliance, including delays that may create access risk.</t>
  </si>
  <si>
    <t>As an IAM leader, I want offboarding compliance reporting so that access termination risks can be monitored.</t>
  </si>
  <si>
    <t>AccessNow, Fieldglass, offboarding Power BI, ServiceNow</t>
  </si>
  <si>
    <t>48-hour compliance monitoring was discussed in the team touchpoint.</t>
  </si>
  <si>
    <t>REQ-054</t>
  </si>
  <si>
    <t>Data Management</t>
  </si>
  <si>
    <t>Automatic backups</t>
  </si>
  <si>
    <t>Create backups before applying approved changes or publishing database updates.</t>
  </si>
  <si>
    <t>As an administrator, I want automatic backups so that data can be restored if an update fails.</t>
  </si>
  <si>
    <t>Retention and storage capacity need to be defined.</t>
  </si>
  <si>
    <t>REQ-055</t>
  </si>
  <si>
    <t>Snapshot before publication</t>
  </si>
  <si>
    <t>Generate a database snapshot before changes are published.</t>
  </si>
  <si>
    <t>As an administrator, I want a snapshot before publication so that prior versions can be restored if needed.</t>
  </si>
  <si>
    <t>Owner and timestamp should be included.</t>
  </si>
  <si>
    <t>REQ-056</t>
  </si>
  <si>
    <t>Recovery functionality</t>
  </si>
  <si>
    <t>Allow approved administrators to recover and review prior backups or snapshots.</t>
  </si>
  <si>
    <t>As an administrator, I want recovery functionality so that I can restore data after errors or conflicts.</t>
  </si>
  <si>
    <t>Application database, backups</t>
  </si>
  <si>
    <t>Recovery permissions must be restricted.</t>
  </si>
  <si>
    <t>REQ-057</t>
  </si>
  <si>
    <t>Concurrency conflict handling</t>
  </si>
  <si>
    <t>Detect simultaneous or conflicting changes and prevent unsafe direct writes.</t>
  </si>
  <si>
    <t>As a system owner, I want concurrency conflict handling so that simultaneous updates do not corrupt data.</t>
  </si>
  <si>
    <t>Optimistic concurrency and quarantine logic discussed.</t>
  </si>
  <si>
    <t>REQ-058</t>
  </si>
  <si>
    <t>Integration</t>
  </si>
  <si>
    <t>SharePoint folder structure</t>
  </si>
  <si>
    <t>Use a controlled SharePoint folder structure for imports, backups, templates, audit files, and requests.</t>
  </si>
  <si>
    <t>As an administrator, I want a controlled folder structure so that files are organized and access is managed.</t>
  </si>
  <si>
    <t>SharePoint</t>
  </si>
  <si>
    <t>Sofia action item to create/share folder.</t>
  </si>
  <si>
    <t>REQ-060</t>
  </si>
  <si>
    <t>AD/Azure dependency assessment</t>
  </si>
  <si>
    <t>Assess whether AD/Azure connection is needed for the automation workflow or ServiceNow integration.</t>
  </si>
  <si>
    <t>As a technical lead, I want AD/Azure dependencies identified so that architecture decisions are accurate.</t>
  </si>
  <si>
    <t>AD/Azure, ServiceNow</t>
  </si>
  <si>
    <t>Listed as an open technical question in CPS planning artifact.</t>
  </si>
  <si>
    <t>REQ-061</t>
  </si>
  <si>
    <t>Salesforce profile creation workflow</t>
  </si>
  <si>
    <t>Support Salesforce profile creation as part of the automation workflow requirements.</t>
  </si>
  <si>
    <t>As an IAM analyst, I want Salesforce profile creation tracked so that system access readiness is visible during onboarding.</t>
  </si>
  <si>
    <t>Salesforce, AccessNow</t>
  </si>
  <si>
    <t>Included in project scope and planning.</t>
  </si>
  <si>
    <t>REQ-062</t>
  </si>
  <si>
    <t>CXOne profile creation workflow</t>
  </si>
  <si>
    <t>Support CXOne profile creation and tracking as part of IAM scope.</t>
  </si>
  <si>
    <t>As an IAM analyst, I want CXOne profile creation tracked so that agent enablement is coordinated with onboarding.</t>
  </si>
  <si>
    <t>CXOne</t>
  </si>
  <si>
    <t>Mentioned in IAM Automation weekly update notes and project scope.</t>
  </si>
  <si>
    <t>REQ-063</t>
  </si>
  <si>
    <t>NICE IEX configuration tracking</t>
  </si>
  <si>
    <t>Track NICE IEX configuration/build activities as part of automation implementation.</t>
  </si>
  <si>
    <t>As an IAM analyst, I want NICE IEX configuration tracked so that onboarding readiness can be monitored.</t>
  </si>
  <si>
    <t>NICE IEX</t>
  </si>
  <si>
    <t>Included in project plan and scope.</t>
  </si>
  <si>
    <t>REQ-064</t>
  </si>
  <si>
    <t>Future Enhancement</t>
  </si>
  <si>
    <t>SQL backend migration option</t>
  </si>
  <si>
    <t>Allow future migration from SharePoint/database file structure to SQL Server if the application scales.</t>
  </si>
  <si>
    <t>As a system owner, I want a future SQL migration path so that the solution can scale without major redesign.</t>
  </si>
  <si>
    <t>SQL Server, application database</t>
  </si>
  <si>
    <t>Future-state concept discussed, not MVP.</t>
  </si>
  <si>
    <t>REQ-065</t>
  </si>
  <si>
    <t>Web-based interface</t>
  </si>
  <si>
    <t>Use or preserve a web-based interface approach to support scalability and future server migration.</t>
  </si>
  <si>
    <t>As a user, I want a web interface so that the application can scale and be maintained more easily.</t>
  </si>
  <si>
    <t>Application UI</t>
  </si>
  <si>
    <t>Meeting notes indicate web interface supports scalability.</t>
  </si>
  <si>
    <t>REQ-066</t>
  </si>
  <si>
    <t>Workflow orchestrator</t>
  </si>
  <si>
    <t>Consider a workflow orchestrator if multi-user scale or more complex workflows are needed.</t>
  </si>
  <si>
    <t>As a system owner, I want orchestrated workflows so that complex approvals and system interactions can scale.</t>
  </si>
  <si>
    <t>Future architecture</t>
  </si>
  <si>
    <t>Future-state concept discussed.</t>
  </si>
  <si>
    <t>Count</t>
  </si>
  <si>
    <t>In Progress</t>
  </si>
  <si>
    <t>Completed</t>
  </si>
  <si>
    <t>Blocked</t>
  </si>
  <si>
    <t>Dependency</t>
  </si>
  <si>
    <t>Cancelled</t>
  </si>
  <si>
    <t>Total</t>
  </si>
  <si>
    <t>Source Reference</t>
  </si>
  <si>
    <t>What it supports</t>
  </si>
  <si>
    <t>turn1search17</t>
  </si>
  <si>
    <t>IAM Automation Touchpoint 2026-07-23: Fieldglass reports, roster lock crossmatch, onboarding timing, app setup, user roles, workflow, backlog, SLA/notifications, backups.</t>
  </si>
  <si>
    <t>turn1search19</t>
  </si>
  <si>
    <t>IAM Automation Touchpoint 2026-07-22: roles, approvals, JSON requests, SharePoint, single-writer model, quarantine, backups, authentication, rehire/blacklist validations, technical requirements.</t>
  </si>
  <si>
    <t>turn1search9</t>
  </si>
  <si>
    <t>IAM Automation weekly update chat: 30 day rehire policy, CX1 profile creation, IAM scope, roster locks/staffing plan report, inactivity alert note.</t>
  </si>
  <si>
    <t>turn1search3</t>
  </si>
  <si>
    <t>Source of Truth/Agent Data Discussion: source of truth open issues, Fieldglass/AccessNow findings, hierarchy, active-worker validation, reconciliation.</t>
  </si>
  <si>
    <t>turn1search8</t>
  </si>
  <si>
    <t>IAM Team chat: Roster Lock storage, NPN validation workflow, SOP update, validation complete column/process.</t>
  </si>
  <si>
    <t>turn1search13</t>
  </si>
  <si>
    <t>IAM Team Touchpoint transcript: centralization rationale, AccessNow/Fieldglass reconciliation, auditing/offboarding compliance, ServiceNow process.</t>
  </si>
  <si>
    <t>turn1search27</t>
  </si>
  <si>
    <t>IAM Automation Initiative Project Plan: design, workflow requirements, roster lock template, UAT, communication plan, implementation timeline references.</t>
  </si>
  <si>
    <t>turn1search28</t>
  </si>
  <si>
    <t>IAM Automation Project Charter: scope, source of truth, centralized data ingestion, alerts, workflows, system scope.</t>
  </si>
  <si>
    <t>turn1search34</t>
  </si>
  <si>
    <t>IAM Automation Initiative CPS: ServiceNow, AD/Azure, queue, configuration and workflow planning questions.</t>
  </si>
  <si>
    <t>turn1search7</t>
  </si>
  <si>
    <t>WFM + IAM chat: architecture brief and diagrams including single-writer, request flow, audit event, backup/recovery, duplicate prevention, migration architecture.</t>
  </si>
  <si>
    <t>turn1search11</t>
  </si>
  <si>
    <t>IAM Automation Touchpoint recording reference used for SLA/notification/backlog support from meeting recap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</si>
</sst>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D9EAD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Requirements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'Status Summary'!B1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'Status Summary'!$A$2:$A$7</c:f>
              <c:strCache>
                <c:ptCount val="6"/>
                <c:pt idx="0">
                  <c:v>Pending</c:v>
                </c:pt>
                <c:pt idx="1">
                  <c:v>In Progress</c:v>
                </c:pt>
                <c:pt idx="2">
                  <c:v>Completed</c:v>
                </c:pt>
                <c:pt idx="3">
                  <c:v>Blocked</c:v>
                </c:pt>
                <c:pt idx="4">
                  <c:v>Dependency</c:v>
                </c:pt>
                <c:pt idx="5">
                  <c:v>Cancelled</c:v>
                </c:pt>
              </c:strCache>
            </c:strRef>
          </c:cat>
          <c:val>
            <c:numRef>
              <c:f>'Status Summary'!$B$2:$B$7</c:f>
              <c:numCache>
                <c:formatCode>General</c:formatCode>
                <c:ptCount val="6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C-42C1-B78F-7CF97A0F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AMRequirementsTracker" displayName="IAMRequirementsTracker" ref="A1:I63">
  <autoFilter ref="A1:I63" xr:uid="{00000000-0009-0000-0100-000001000000}"/>
  <tableColumns count="9">
    <tableColumn id="1" xr3:uid="{00000000-0010-0000-0000-000001000000}" name="ID"/>
    <tableColumn id="2" xr3:uid="{00000000-0010-0000-0000-000002000000}" name="Category"/>
    <tableColumn id="3" xr3:uid="{00000000-0010-0000-0000-000003000000}" name="Requirement / Capability"/>
    <tableColumn id="4" xr3:uid="{00000000-0010-0000-0000-000004000000}" name="Requirement Details"/>
    <tableColumn id="5" xr3:uid="{00000000-0010-0000-0000-000005000000}" name="User Story"/>
    <tableColumn id="6" xr3:uid="{00000000-0010-0000-0000-000006000000}" name="Status"/>
    <tableColumn id="7" xr3:uid="{00000000-0010-0000-0000-000007000000}" name="Priority"/>
    <tableColumn id="9" xr3:uid="{00000000-0010-0000-0000-000009000000}" name="System(s) / Data Source(s)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showGridLines="0" workbookViewId="0">
      <pane ySplit="1" topLeftCell="A2" activePane="bottomLeft" state="frozen"/>
      <selection pane="bottomLeft" activeCell="G69" sqref="G69"/>
    </sheetView>
  </sheetViews>
  <sheetFormatPr defaultRowHeight="15"/>
  <cols>
    <col min="1" max="1" width="12" customWidth="1"/>
    <col min="2" max="2" width="24" customWidth="1"/>
    <col min="3" max="3" width="34" customWidth="1"/>
    <col min="4" max="4" width="58" customWidth="1"/>
    <col min="5" max="5" width="62" customWidth="1"/>
    <col min="6" max="6" width="16" customWidth="1"/>
    <col min="7" max="7" width="12" customWidth="1"/>
    <col min="8" max="8" width="34" customWidth="1"/>
    <col min="9" max="9" width="42" customWidth="1"/>
  </cols>
  <sheetData>
    <row r="1" spans="1:9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2" t="s">
        <v>15</v>
      </c>
      <c r="H2" s="3" t="s">
        <v>16</v>
      </c>
      <c r="I2" s="3" t="s">
        <v>17</v>
      </c>
    </row>
    <row r="3" spans="1:9" ht="78" customHeight="1">
      <c r="A3" s="2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2" t="s">
        <v>14</v>
      </c>
      <c r="G3" s="2" t="s">
        <v>15</v>
      </c>
      <c r="H3" s="3" t="s">
        <v>22</v>
      </c>
      <c r="I3" s="3" t="s">
        <v>23</v>
      </c>
    </row>
    <row r="4" spans="1:9" ht="78" customHeight="1">
      <c r="A4" s="2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2" t="s">
        <v>14</v>
      </c>
      <c r="G4" s="2" t="s">
        <v>15</v>
      </c>
      <c r="H4" s="3" t="s">
        <v>28</v>
      </c>
      <c r="I4" s="3" t="s">
        <v>29</v>
      </c>
    </row>
    <row r="5" spans="1:9" ht="78" customHeight="1">
      <c r="A5" s="2" t="s">
        <v>30</v>
      </c>
      <c r="B5" s="3" t="s">
        <v>10</v>
      </c>
      <c r="C5" s="3" t="s">
        <v>31</v>
      </c>
      <c r="D5" s="3" t="s">
        <v>32</v>
      </c>
      <c r="E5" s="3" t="s">
        <v>33</v>
      </c>
      <c r="F5" s="2" t="s">
        <v>14</v>
      </c>
      <c r="G5" s="2" t="s">
        <v>15</v>
      </c>
      <c r="H5" s="3" t="s">
        <v>34</v>
      </c>
      <c r="I5" s="3" t="s">
        <v>35</v>
      </c>
    </row>
    <row r="6" spans="1:9" ht="78" customHeight="1">
      <c r="A6" s="2" t="s">
        <v>36</v>
      </c>
      <c r="B6" s="3" t="s">
        <v>10</v>
      </c>
      <c r="C6" s="3" t="s">
        <v>37</v>
      </c>
      <c r="D6" s="3" t="s">
        <v>38</v>
      </c>
      <c r="E6" s="3" t="s">
        <v>39</v>
      </c>
      <c r="F6" s="2" t="s">
        <v>14</v>
      </c>
      <c r="G6" s="2" t="s">
        <v>40</v>
      </c>
      <c r="H6" s="3" t="s">
        <v>41</v>
      </c>
      <c r="I6" s="3" t="s">
        <v>42</v>
      </c>
    </row>
    <row r="7" spans="1:9" ht="78" customHeight="1">
      <c r="A7" s="2" t="s">
        <v>43</v>
      </c>
      <c r="B7" s="3" t="s">
        <v>10</v>
      </c>
      <c r="C7" s="3" t="s">
        <v>44</v>
      </c>
      <c r="D7" s="3" t="s">
        <v>45</v>
      </c>
      <c r="E7" s="3" t="s">
        <v>46</v>
      </c>
      <c r="F7" s="2" t="s">
        <v>14</v>
      </c>
      <c r="G7" s="2" t="s">
        <v>15</v>
      </c>
      <c r="H7" s="3" t="s">
        <v>47</v>
      </c>
      <c r="I7" s="3" t="s">
        <v>48</v>
      </c>
    </row>
    <row r="8" spans="1:9" ht="78" customHeight="1">
      <c r="A8" s="2" t="s">
        <v>49</v>
      </c>
      <c r="B8" s="3" t="s">
        <v>10</v>
      </c>
      <c r="C8" s="3" t="s">
        <v>50</v>
      </c>
      <c r="D8" s="3" t="s">
        <v>51</v>
      </c>
      <c r="E8" s="3" t="s">
        <v>52</v>
      </c>
      <c r="F8" s="2" t="s">
        <v>14</v>
      </c>
      <c r="G8" s="2" t="s">
        <v>15</v>
      </c>
      <c r="H8" s="3" t="s">
        <v>53</v>
      </c>
      <c r="I8" s="3" t="s">
        <v>54</v>
      </c>
    </row>
    <row r="9" spans="1:9" ht="78" customHeight="1">
      <c r="A9" s="2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2" t="s">
        <v>14</v>
      </c>
      <c r="G9" s="2" t="s">
        <v>15</v>
      </c>
      <c r="H9" s="3" t="s">
        <v>60</v>
      </c>
      <c r="I9" s="3" t="s">
        <v>61</v>
      </c>
    </row>
    <row r="10" spans="1:9" ht="78" customHeight="1">
      <c r="A10" s="2" t="s">
        <v>62</v>
      </c>
      <c r="B10" s="3" t="s">
        <v>56</v>
      </c>
      <c r="C10" s="3" t="s">
        <v>63</v>
      </c>
      <c r="D10" s="3" t="s">
        <v>64</v>
      </c>
      <c r="E10" s="3" t="s">
        <v>65</v>
      </c>
      <c r="F10" s="2" t="s">
        <v>14</v>
      </c>
      <c r="G10" s="2" t="s">
        <v>15</v>
      </c>
      <c r="H10" s="3" t="s">
        <v>66</v>
      </c>
      <c r="I10" s="3" t="s">
        <v>67</v>
      </c>
    </row>
    <row r="11" spans="1:9" ht="78" customHeight="1">
      <c r="A11" s="2" t="s">
        <v>68</v>
      </c>
      <c r="B11" s="3" t="s">
        <v>56</v>
      </c>
      <c r="C11" s="3" t="s">
        <v>69</v>
      </c>
      <c r="D11" s="3" t="s">
        <v>70</v>
      </c>
      <c r="E11" s="3" t="s">
        <v>71</v>
      </c>
      <c r="F11" s="2" t="s">
        <v>14</v>
      </c>
      <c r="G11" s="2" t="s">
        <v>72</v>
      </c>
      <c r="H11" s="3" t="s">
        <v>73</v>
      </c>
      <c r="I11" s="3" t="s">
        <v>74</v>
      </c>
    </row>
    <row r="12" spans="1:9" ht="78" customHeight="1">
      <c r="A12" s="2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2" t="s">
        <v>14</v>
      </c>
      <c r="G12" s="2" t="s">
        <v>15</v>
      </c>
      <c r="H12" s="3" t="s">
        <v>80</v>
      </c>
      <c r="I12" s="3" t="s">
        <v>81</v>
      </c>
    </row>
    <row r="13" spans="1:9" ht="78" customHeight="1">
      <c r="A13" s="2" t="s">
        <v>82</v>
      </c>
      <c r="B13" s="3" t="s">
        <v>76</v>
      </c>
      <c r="C13" s="3" t="s">
        <v>83</v>
      </c>
      <c r="D13" s="3" t="s">
        <v>84</v>
      </c>
      <c r="E13" s="3" t="s">
        <v>85</v>
      </c>
      <c r="F13" s="2" t="s">
        <v>14</v>
      </c>
      <c r="G13" s="2" t="s">
        <v>15</v>
      </c>
      <c r="H13" s="3" t="s">
        <v>86</v>
      </c>
      <c r="I13" s="3" t="s">
        <v>87</v>
      </c>
    </row>
    <row r="14" spans="1:9" ht="78" customHeight="1">
      <c r="A14" s="2" t="s">
        <v>88</v>
      </c>
      <c r="B14" s="3" t="s">
        <v>76</v>
      </c>
      <c r="C14" s="3" t="s">
        <v>89</v>
      </c>
      <c r="D14" s="3" t="s">
        <v>90</v>
      </c>
      <c r="E14" s="3" t="s">
        <v>91</v>
      </c>
      <c r="F14" s="2" t="s">
        <v>14</v>
      </c>
      <c r="G14" s="2" t="s">
        <v>15</v>
      </c>
      <c r="H14" s="3" t="s">
        <v>92</v>
      </c>
      <c r="I14" s="3" t="s">
        <v>93</v>
      </c>
    </row>
    <row r="15" spans="1:9" ht="78" customHeight="1">
      <c r="A15" s="2" t="s">
        <v>94</v>
      </c>
      <c r="B15" s="3" t="s">
        <v>76</v>
      </c>
      <c r="C15" s="3" t="s">
        <v>95</v>
      </c>
      <c r="D15" s="3" t="s">
        <v>96</v>
      </c>
      <c r="E15" s="3" t="s">
        <v>97</v>
      </c>
      <c r="F15" s="2" t="s">
        <v>14</v>
      </c>
      <c r="G15" s="2" t="s">
        <v>15</v>
      </c>
      <c r="H15" s="3" t="s">
        <v>98</v>
      </c>
      <c r="I15" s="3" t="s">
        <v>99</v>
      </c>
    </row>
    <row r="16" spans="1:9" ht="78" customHeight="1">
      <c r="A16" s="2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2" t="s">
        <v>14</v>
      </c>
      <c r="G16" s="2" t="s">
        <v>15</v>
      </c>
      <c r="H16" s="3" t="s">
        <v>105</v>
      </c>
      <c r="I16" s="3" t="s">
        <v>106</v>
      </c>
    </row>
    <row r="17" spans="1:9" ht="78" customHeight="1">
      <c r="A17" s="2" t="s">
        <v>107</v>
      </c>
      <c r="B17" s="3" t="s">
        <v>101</v>
      </c>
      <c r="C17" s="3" t="s">
        <v>108</v>
      </c>
      <c r="D17" s="3" t="s">
        <v>109</v>
      </c>
      <c r="E17" s="3" t="s">
        <v>110</v>
      </c>
      <c r="F17" s="2" t="s">
        <v>14</v>
      </c>
      <c r="G17" s="2" t="s">
        <v>15</v>
      </c>
      <c r="H17" s="3" t="s">
        <v>111</v>
      </c>
      <c r="I17" s="3" t="s">
        <v>112</v>
      </c>
    </row>
    <row r="18" spans="1:9" ht="78" customHeight="1">
      <c r="A18" s="2" t="s">
        <v>113</v>
      </c>
      <c r="B18" s="3" t="s">
        <v>101</v>
      </c>
      <c r="C18" s="3" t="s">
        <v>114</v>
      </c>
      <c r="D18" s="3" t="s">
        <v>115</v>
      </c>
      <c r="E18" s="3" t="s">
        <v>116</v>
      </c>
      <c r="F18" s="2" t="s">
        <v>14</v>
      </c>
      <c r="G18" s="2" t="s">
        <v>40</v>
      </c>
      <c r="H18" s="3" t="s">
        <v>117</v>
      </c>
      <c r="I18" s="3" t="s">
        <v>118</v>
      </c>
    </row>
    <row r="19" spans="1:9" ht="78" customHeight="1">
      <c r="A19" s="2" t="s">
        <v>119</v>
      </c>
      <c r="B19" s="3" t="s">
        <v>101</v>
      </c>
      <c r="C19" s="3" t="s">
        <v>120</v>
      </c>
      <c r="D19" s="3" t="s">
        <v>121</v>
      </c>
      <c r="E19" s="3" t="s">
        <v>122</v>
      </c>
      <c r="F19" s="2" t="s">
        <v>14</v>
      </c>
      <c r="G19" s="2" t="s">
        <v>72</v>
      </c>
      <c r="H19" s="3" t="s">
        <v>123</v>
      </c>
      <c r="I19" s="3" t="s">
        <v>124</v>
      </c>
    </row>
    <row r="20" spans="1:9" ht="78" customHeight="1">
      <c r="A20" s="2" t="s">
        <v>125</v>
      </c>
      <c r="B20" s="3" t="s">
        <v>126</v>
      </c>
      <c r="C20" s="3" t="s">
        <v>127</v>
      </c>
      <c r="D20" s="3" t="s">
        <v>128</v>
      </c>
      <c r="E20" s="3" t="s">
        <v>129</v>
      </c>
      <c r="F20" s="2" t="s">
        <v>14</v>
      </c>
      <c r="G20" s="2" t="s">
        <v>15</v>
      </c>
      <c r="H20" s="3" t="s">
        <v>130</v>
      </c>
      <c r="I20" s="3" t="s">
        <v>131</v>
      </c>
    </row>
    <row r="21" spans="1:9" ht="78" customHeight="1">
      <c r="A21" s="2" t="s">
        <v>132</v>
      </c>
      <c r="B21" s="3" t="s">
        <v>126</v>
      </c>
      <c r="C21" s="3" t="s">
        <v>133</v>
      </c>
      <c r="D21" s="3" t="s">
        <v>134</v>
      </c>
      <c r="E21" s="3" t="s">
        <v>135</v>
      </c>
      <c r="F21" s="2" t="s">
        <v>14</v>
      </c>
      <c r="G21" s="2" t="s">
        <v>15</v>
      </c>
      <c r="H21" s="3" t="s">
        <v>136</v>
      </c>
      <c r="I21" s="3" t="s">
        <v>137</v>
      </c>
    </row>
    <row r="22" spans="1:9" ht="78" customHeight="1">
      <c r="A22" s="2" t="s">
        <v>138</v>
      </c>
      <c r="B22" s="3" t="s">
        <v>126</v>
      </c>
      <c r="C22" s="3" t="s">
        <v>139</v>
      </c>
      <c r="D22" s="3" t="s">
        <v>140</v>
      </c>
      <c r="E22" s="3" t="s">
        <v>141</v>
      </c>
      <c r="F22" s="2" t="s">
        <v>14</v>
      </c>
      <c r="G22" s="2" t="s">
        <v>15</v>
      </c>
      <c r="H22" s="3" t="s">
        <v>142</v>
      </c>
      <c r="I22" s="3" t="s">
        <v>143</v>
      </c>
    </row>
    <row r="23" spans="1:9" ht="78" customHeight="1">
      <c r="A23" s="2" t="s">
        <v>144</v>
      </c>
      <c r="B23" s="3" t="s">
        <v>126</v>
      </c>
      <c r="C23" s="3" t="s">
        <v>145</v>
      </c>
      <c r="D23" s="3" t="s">
        <v>146</v>
      </c>
      <c r="E23" s="3" t="s">
        <v>147</v>
      </c>
      <c r="F23" s="2" t="s">
        <v>14</v>
      </c>
      <c r="G23" s="2" t="s">
        <v>15</v>
      </c>
      <c r="H23" s="3" t="s">
        <v>148</v>
      </c>
      <c r="I23" s="3" t="s">
        <v>149</v>
      </c>
    </row>
    <row r="24" spans="1:9" ht="78" customHeight="1">
      <c r="A24" s="2" t="s">
        <v>150</v>
      </c>
      <c r="B24" s="3" t="s">
        <v>126</v>
      </c>
      <c r="C24" s="3" t="s">
        <v>151</v>
      </c>
      <c r="D24" s="3" t="s">
        <v>152</v>
      </c>
      <c r="E24" s="3" t="s">
        <v>153</v>
      </c>
      <c r="F24" s="2" t="s">
        <v>14</v>
      </c>
      <c r="G24" s="2" t="s">
        <v>15</v>
      </c>
      <c r="H24" s="3" t="s">
        <v>154</v>
      </c>
      <c r="I24" s="3" t="s">
        <v>155</v>
      </c>
    </row>
    <row r="25" spans="1:9" ht="78" customHeight="1">
      <c r="A25" s="2" t="s">
        <v>156</v>
      </c>
      <c r="B25" s="3" t="s">
        <v>126</v>
      </c>
      <c r="C25" s="3" t="s">
        <v>157</v>
      </c>
      <c r="D25" s="3" t="s">
        <v>158</v>
      </c>
      <c r="E25" s="3" t="s">
        <v>159</v>
      </c>
      <c r="F25" s="2" t="s">
        <v>14</v>
      </c>
      <c r="G25" s="2" t="s">
        <v>72</v>
      </c>
      <c r="H25" s="3" t="s">
        <v>160</v>
      </c>
      <c r="I25" s="3" t="s">
        <v>161</v>
      </c>
    </row>
    <row r="26" spans="1:9" ht="78" customHeight="1">
      <c r="A26" s="2" t="s">
        <v>162</v>
      </c>
      <c r="B26" s="3" t="s">
        <v>163</v>
      </c>
      <c r="C26" s="3" t="s">
        <v>164</v>
      </c>
      <c r="D26" s="3" t="s">
        <v>165</v>
      </c>
      <c r="E26" s="3" t="s">
        <v>166</v>
      </c>
      <c r="F26" s="2" t="s">
        <v>14</v>
      </c>
      <c r="G26" s="2" t="s">
        <v>15</v>
      </c>
      <c r="H26" s="3" t="s">
        <v>154</v>
      </c>
      <c r="I26" s="3" t="s">
        <v>167</v>
      </c>
    </row>
    <row r="27" spans="1:9" ht="78" customHeight="1">
      <c r="A27" s="2" t="s">
        <v>168</v>
      </c>
      <c r="B27" s="3" t="s">
        <v>163</v>
      </c>
      <c r="C27" s="3" t="s">
        <v>169</v>
      </c>
      <c r="D27" s="3" t="s">
        <v>170</v>
      </c>
      <c r="E27" s="3" t="s">
        <v>171</v>
      </c>
      <c r="F27" s="2" t="s">
        <v>14</v>
      </c>
      <c r="G27" s="2" t="s">
        <v>15</v>
      </c>
      <c r="H27" s="3" t="s">
        <v>154</v>
      </c>
      <c r="I27" s="3" t="s">
        <v>172</v>
      </c>
    </row>
    <row r="28" spans="1:9" ht="78" customHeight="1">
      <c r="A28" s="2" t="s">
        <v>173</v>
      </c>
      <c r="B28" s="3" t="s">
        <v>163</v>
      </c>
      <c r="C28" s="3" t="s">
        <v>174</v>
      </c>
      <c r="D28" s="3" t="s">
        <v>175</v>
      </c>
      <c r="E28" s="3" t="s">
        <v>176</v>
      </c>
      <c r="F28" s="2" t="s">
        <v>14</v>
      </c>
      <c r="G28" s="2" t="s">
        <v>15</v>
      </c>
      <c r="H28" s="3" t="s">
        <v>177</v>
      </c>
      <c r="I28" s="3" t="s">
        <v>178</v>
      </c>
    </row>
    <row r="29" spans="1:9" ht="78" customHeight="1">
      <c r="A29" s="2" t="s">
        <v>179</v>
      </c>
      <c r="B29" s="3" t="s">
        <v>163</v>
      </c>
      <c r="C29" s="3" t="s">
        <v>180</v>
      </c>
      <c r="D29" s="3" t="s">
        <v>181</v>
      </c>
      <c r="E29" s="3" t="s">
        <v>182</v>
      </c>
      <c r="F29" s="2" t="s">
        <v>14</v>
      </c>
      <c r="G29" s="2" t="s">
        <v>72</v>
      </c>
      <c r="H29" s="3" t="s">
        <v>154</v>
      </c>
      <c r="I29" s="3" t="s">
        <v>183</v>
      </c>
    </row>
    <row r="30" spans="1:9" ht="78" customHeight="1">
      <c r="A30" s="2" t="s">
        <v>184</v>
      </c>
      <c r="B30" s="3" t="s">
        <v>185</v>
      </c>
      <c r="C30" s="3" t="s">
        <v>186</v>
      </c>
      <c r="D30" s="3" t="s">
        <v>187</v>
      </c>
      <c r="E30" s="3" t="s">
        <v>188</v>
      </c>
      <c r="F30" s="2" t="s">
        <v>14</v>
      </c>
      <c r="G30" s="2" t="s">
        <v>15</v>
      </c>
      <c r="H30" s="3" t="s">
        <v>189</v>
      </c>
      <c r="I30" s="3" t="s">
        <v>190</v>
      </c>
    </row>
    <row r="31" spans="1:9" ht="78" customHeight="1">
      <c r="A31" s="2" t="s">
        <v>191</v>
      </c>
      <c r="B31" s="3" t="s">
        <v>185</v>
      </c>
      <c r="C31" s="3" t="s">
        <v>192</v>
      </c>
      <c r="D31" s="3" t="s">
        <v>193</v>
      </c>
      <c r="E31" s="3" t="s">
        <v>194</v>
      </c>
      <c r="F31" s="2" t="s">
        <v>14</v>
      </c>
      <c r="G31" s="2" t="s">
        <v>15</v>
      </c>
      <c r="H31" s="3" t="s">
        <v>189</v>
      </c>
      <c r="I31" s="3" t="s">
        <v>195</v>
      </c>
    </row>
    <row r="32" spans="1:9" ht="78" customHeight="1">
      <c r="A32" s="2" t="s">
        <v>196</v>
      </c>
      <c r="B32" s="3" t="s">
        <v>185</v>
      </c>
      <c r="C32" s="3" t="s">
        <v>197</v>
      </c>
      <c r="D32" s="3" t="s">
        <v>198</v>
      </c>
      <c r="E32" s="3" t="s">
        <v>199</v>
      </c>
      <c r="F32" s="2" t="s">
        <v>14</v>
      </c>
      <c r="G32" s="2" t="s">
        <v>15</v>
      </c>
      <c r="H32" s="3" t="s">
        <v>200</v>
      </c>
      <c r="I32" s="3" t="s">
        <v>201</v>
      </c>
    </row>
    <row r="33" spans="1:9" ht="78" customHeight="1">
      <c r="A33" s="2" t="s">
        <v>202</v>
      </c>
      <c r="B33" s="3" t="s">
        <v>203</v>
      </c>
      <c r="C33" s="3" t="s">
        <v>204</v>
      </c>
      <c r="D33" s="3" t="s">
        <v>205</v>
      </c>
      <c r="E33" s="3" t="s">
        <v>206</v>
      </c>
      <c r="F33" s="2" t="s">
        <v>14</v>
      </c>
      <c r="G33" s="2" t="s">
        <v>72</v>
      </c>
      <c r="H33" s="3" t="s">
        <v>207</v>
      </c>
      <c r="I33" s="3" t="s">
        <v>208</v>
      </c>
    </row>
    <row r="34" spans="1:9" ht="78" customHeight="1">
      <c r="A34" s="2" t="s">
        <v>209</v>
      </c>
      <c r="B34" s="3" t="s">
        <v>203</v>
      </c>
      <c r="C34" s="3" t="s">
        <v>210</v>
      </c>
      <c r="D34" s="3" t="s">
        <v>211</v>
      </c>
      <c r="E34" s="3" t="s">
        <v>212</v>
      </c>
      <c r="F34" s="2" t="s">
        <v>14</v>
      </c>
      <c r="G34" s="2" t="s">
        <v>15</v>
      </c>
      <c r="H34" s="3" t="s">
        <v>207</v>
      </c>
      <c r="I34" s="3" t="s">
        <v>208</v>
      </c>
    </row>
    <row r="35" spans="1:9" ht="78" customHeight="1">
      <c r="A35" s="2" t="s">
        <v>213</v>
      </c>
      <c r="B35" s="3" t="s">
        <v>203</v>
      </c>
      <c r="C35" s="3" t="s">
        <v>214</v>
      </c>
      <c r="D35" s="3" t="s">
        <v>215</v>
      </c>
      <c r="E35" s="3" t="s">
        <v>216</v>
      </c>
      <c r="F35" s="2" t="s">
        <v>14</v>
      </c>
      <c r="G35" s="2" t="s">
        <v>15</v>
      </c>
      <c r="H35" s="3" t="s">
        <v>217</v>
      </c>
      <c r="I35" s="3" t="s">
        <v>218</v>
      </c>
    </row>
    <row r="36" spans="1:9" ht="78" customHeight="1">
      <c r="A36" s="2" t="s">
        <v>219</v>
      </c>
      <c r="B36" s="3" t="s">
        <v>203</v>
      </c>
      <c r="C36" s="3" t="s">
        <v>220</v>
      </c>
      <c r="D36" s="3" t="s">
        <v>221</v>
      </c>
      <c r="E36" s="3" t="s">
        <v>222</v>
      </c>
      <c r="F36" s="2" t="s">
        <v>14</v>
      </c>
      <c r="G36" s="2" t="s">
        <v>15</v>
      </c>
      <c r="H36" s="3" t="s">
        <v>223</v>
      </c>
      <c r="I36" s="3" t="s">
        <v>224</v>
      </c>
    </row>
    <row r="37" spans="1:9" ht="78" customHeight="1">
      <c r="A37" s="2" t="s">
        <v>225</v>
      </c>
      <c r="B37" s="3" t="s">
        <v>203</v>
      </c>
      <c r="C37" s="3" t="s">
        <v>226</v>
      </c>
      <c r="D37" s="3" t="s">
        <v>227</v>
      </c>
      <c r="E37" s="3" t="s">
        <v>228</v>
      </c>
      <c r="F37" s="2" t="s">
        <v>14</v>
      </c>
      <c r="G37" s="2" t="s">
        <v>72</v>
      </c>
      <c r="H37" s="3" t="s">
        <v>207</v>
      </c>
      <c r="I37" s="3" t="s">
        <v>229</v>
      </c>
    </row>
    <row r="38" spans="1:9" ht="78" customHeight="1">
      <c r="A38" s="2" t="s">
        <v>230</v>
      </c>
      <c r="B38" s="3" t="s">
        <v>203</v>
      </c>
      <c r="C38" s="3" t="s">
        <v>231</v>
      </c>
      <c r="D38" s="3" t="s">
        <v>232</v>
      </c>
      <c r="E38" s="3" t="s">
        <v>233</v>
      </c>
      <c r="F38" s="2" t="s">
        <v>14</v>
      </c>
      <c r="G38" s="2" t="s">
        <v>72</v>
      </c>
      <c r="H38" s="3" t="s">
        <v>207</v>
      </c>
      <c r="I38" s="3" t="s">
        <v>234</v>
      </c>
    </row>
    <row r="39" spans="1:9" ht="78" customHeight="1">
      <c r="A39" s="2" t="s">
        <v>235</v>
      </c>
      <c r="B39" s="3" t="s">
        <v>203</v>
      </c>
      <c r="C39" s="3" t="s">
        <v>236</v>
      </c>
      <c r="D39" s="3" t="s">
        <v>237</v>
      </c>
      <c r="E39" s="3" t="s">
        <v>238</v>
      </c>
      <c r="F39" s="2" t="s">
        <v>14</v>
      </c>
      <c r="G39" s="2" t="s">
        <v>15</v>
      </c>
      <c r="H39" s="3" t="s">
        <v>239</v>
      </c>
      <c r="I39" s="3" t="s">
        <v>240</v>
      </c>
    </row>
    <row r="40" spans="1:9" ht="78" customHeight="1">
      <c r="A40" s="2" t="s">
        <v>241</v>
      </c>
      <c r="B40" s="3" t="s">
        <v>242</v>
      </c>
      <c r="C40" s="3" t="s">
        <v>243</v>
      </c>
      <c r="D40" s="3" t="s">
        <v>244</v>
      </c>
      <c r="E40" s="3" t="s">
        <v>245</v>
      </c>
      <c r="F40" s="2" t="s">
        <v>14</v>
      </c>
      <c r="G40" s="2" t="s">
        <v>15</v>
      </c>
      <c r="H40" s="3" t="s">
        <v>246</v>
      </c>
      <c r="I40" s="3" t="s">
        <v>247</v>
      </c>
    </row>
    <row r="41" spans="1:9" ht="78" customHeight="1">
      <c r="A41" s="2" t="s">
        <v>248</v>
      </c>
      <c r="B41" s="3" t="s">
        <v>242</v>
      </c>
      <c r="C41" s="3" t="s">
        <v>249</v>
      </c>
      <c r="D41" s="3" t="s">
        <v>250</v>
      </c>
      <c r="E41" s="3" t="s">
        <v>251</v>
      </c>
      <c r="F41" s="2" t="s">
        <v>14</v>
      </c>
      <c r="G41" s="2" t="s">
        <v>15</v>
      </c>
      <c r="H41" s="3" t="s">
        <v>252</v>
      </c>
      <c r="I41" s="3" t="s">
        <v>253</v>
      </c>
    </row>
    <row r="42" spans="1:9" ht="78" customHeight="1">
      <c r="A42" s="2" t="s">
        <v>254</v>
      </c>
      <c r="B42" s="3" t="s">
        <v>242</v>
      </c>
      <c r="C42" s="3" t="s">
        <v>255</v>
      </c>
      <c r="D42" s="3" t="s">
        <v>256</v>
      </c>
      <c r="E42" s="3" t="s">
        <v>257</v>
      </c>
      <c r="F42" s="2" t="s">
        <v>14</v>
      </c>
      <c r="G42" s="2" t="s">
        <v>15</v>
      </c>
      <c r="H42" s="3" t="s">
        <v>154</v>
      </c>
      <c r="I42" s="3" t="s">
        <v>258</v>
      </c>
    </row>
    <row r="43" spans="1:9" ht="78" customHeight="1">
      <c r="A43" s="2" t="s">
        <v>259</v>
      </c>
      <c r="B43" s="3" t="s">
        <v>242</v>
      </c>
      <c r="C43" s="3" t="s">
        <v>260</v>
      </c>
      <c r="D43" s="3" t="s">
        <v>261</v>
      </c>
      <c r="E43" s="3" t="s">
        <v>262</v>
      </c>
      <c r="F43" s="2" t="s">
        <v>14</v>
      </c>
      <c r="G43" s="2" t="s">
        <v>72</v>
      </c>
      <c r="H43" s="3" t="s">
        <v>92</v>
      </c>
      <c r="I43" s="3" t="s">
        <v>263</v>
      </c>
    </row>
    <row r="44" spans="1:9" ht="78" customHeight="1">
      <c r="A44" s="2" t="s">
        <v>264</v>
      </c>
      <c r="B44" s="3" t="s">
        <v>265</v>
      </c>
      <c r="C44" s="3" t="s">
        <v>266</v>
      </c>
      <c r="D44" s="3" t="s">
        <v>267</v>
      </c>
      <c r="E44" s="3" t="s">
        <v>268</v>
      </c>
      <c r="F44" s="2" t="s">
        <v>14</v>
      </c>
      <c r="G44" s="2" t="s">
        <v>72</v>
      </c>
      <c r="H44" s="3" t="s">
        <v>154</v>
      </c>
      <c r="I44" s="3" t="s">
        <v>269</v>
      </c>
    </row>
    <row r="45" spans="1:9" ht="78" customHeight="1">
      <c r="A45" s="2" t="s">
        <v>270</v>
      </c>
      <c r="B45" s="3" t="s">
        <v>265</v>
      </c>
      <c r="C45" s="3" t="s">
        <v>271</v>
      </c>
      <c r="D45" s="3" t="s">
        <v>272</v>
      </c>
      <c r="E45" s="3" t="s">
        <v>273</v>
      </c>
      <c r="F45" s="2" t="s">
        <v>14</v>
      </c>
      <c r="G45" s="2" t="s">
        <v>72</v>
      </c>
      <c r="H45" s="3" t="s">
        <v>154</v>
      </c>
      <c r="I45" s="3" t="s">
        <v>274</v>
      </c>
    </row>
    <row r="46" spans="1:9" ht="78" customHeight="1">
      <c r="A46" s="2" t="s">
        <v>275</v>
      </c>
      <c r="B46" s="3" t="s">
        <v>265</v>
      </c>
      <c r="C46" s="3" t="s">
        <v>276</v>
      </c>
      <c r="D46" s="3" t="s">
        <v>277</v>
      </c>
      <c r="E46" s="3" t="s">
        <v>278</v>
      </c>
      <c r="F46" s="2" t="s">
        <v>14</v>
      </c>
      <c r="G46" s="2" t="s">
        <v>72</v>
      </c>
      <c r="H46" s="3" t="s">
        <v>279</v>
      </c>
      <c r="I46" s="3" t="s">
        <v>280</v>
      </c>
    </row>
    <row r="47" spans="1:9" ht="78" customHeight="1">
      <c r="A47" s="2" t="s">
        <v>281</v>
      </c>
      <c r="B47" s="3" t="s">
        <v>265</v>
      </c>
      <c r="C47" s="3" t="s">
        <v>282</v>
      </c>
      <c r="D47" s="3" t="s">
        <v>283</v>
      </c>
      <c r="E47" s="3" t="s">
        <v>284</v>
      </c>
      <c r="F47" s="2" t="s">
        <v>14</v>
      </c>
      <c r="G47" s="2" t="s">
        <v>72</v>
      </c>
      <c r="H47" s="3" t="s">
        <v>285</v>
      </c>
      <c r="I47" s="3" t="s">
        <v>286</v>
      </c>
    </row>
    <row r="48" spans="1:9" ht="78" customHeight="1">
      <c r="A48" s="2" t="s">
        <v>287</v>
      </c>
      <c r="B48" s="3" t="s">
        <v>288</v>
      </c>
      <c r="C48" s="3" t="s">
        <v>289</v>
      </c>
      <c r="D48" s="3" t="s">
        <v>290</v>
      </c>
      <c r="E48" s="3" t="s">
        <v>291</v>
      </c>
      <c r="F48" s="2" t="s">
        <v>14</v>
      </c>
      <c r="G48" s="2" t="s">
        <v>15</v>
      </c>
      <c r="H48" s="3" t="s">
        <v>92</v>
      </c>
      <c r="I48" s="3" t="s">
        <v>292</v>
      </c>
    </row>
    <row r="49" spans="1:9" ht="78" customHeight="1">
      <c r="A49" s="2" t="s">
        <v>293</v>
      </c>
      <c r="B49" s="3" t="s">
        <v>288</v>
      </c>
      <c r="C49" s="3" t="s">
        <v>294</v>
      </c>
      <c r="D49" s="3" t="s">
        <v>295</v>
      </c>
      <c r="E49" s="3" t="s">
        <v>296</v>
      </c>
      <c r="F49" s="2" t="s">
        <v>14</v>
      </c>
      <c r="G49" s="2" t="s">
        <v>72</v>
      </c>
      <c r="H49" s="3" t="s">
        <v>154</v>
      </c>
      <c r="I49" s="3" t="s">
        <v>297</v>
      </c>
    </row>
    <row r="50" spans="1:9" ht="78" customHeight="1">
      <c r="A50" s="2" t="s">
        <v>298</v>
      </c>
      <c r="B50" s="3" t="s">
        <v>288</v>
      </c>
      <c r="C50" s="3" t="s">
        <v>299</v>
      </c>
      <c r="D50" s="3" t="s">
        <v>300</v>
      </c>
      <c r="E50" s="3" t="s">
        <v>301</v>
      </c>
      <c r="F50" s="2" t="s">
        <v>14</v>
      </c>
      <c r="G50" s="2" t="s">
        <v>40</v>
      </c>
      <c r="H50" s="3" t="s">
        <v>302</v>
      </c>
      <c r="I50" s="3" t="s">
        <v>303</v>
      </c>
    </row>
    <row r="51" spans="1:9" ht="78" customHeight="1">
      <c r="A51" s="2" t="s">
        <v>304</v>
      </c>
      <c r="B51" s="3" t="s">
        <v>288</v>
      </c>
      <c r="C51" s="3" t="s">
        <v>305</v>
      </c>
      <c r="D51" s="3" t="s">
        <v>306</v>
      </c>
      <c r="E51" s="3" t="s">
        <v>307</v>
      </c>
      <c r="F51" s="2" t="s">
        <v>14</v>
      </c>
      <c r="G51" s="2" t="s">
        <v>15</v>
      </c>
      <c r="H51" s="3" t="s">
        <v>308</v>
      </c>
      <c r="I51" s="3" t="s">
        <v>309</v>
      </c>
    </row>
    <row r="52" spans="1:9" ht="78" customHeight="1">
      <c r="A52" s="2" t="s">
        <v>310</v>
      </c>
      <c r="B52" s="3" t="s">
        <v>311</v>
      </c>
      <c r="C52" s="3" t="s">
        <v>312</v>
      </c>
      <c r="D52" s="3" t="s">
        <v>313</v>
      </c>
      <c r="E52" s="3" t="s">
        <v>314</v>
      </c>
      <c r="F52" s="2" t="s">
        <v>14</v>
      </c>
      <c r="G52" s="2" t="s">
        <v>15</v>
      </c>
      <c r="H52" s="3" t="s">
        <v>200</v>
      </c>
      <c r="I52" s="3" t="s">
        <v>315</v>
      </c>
    </row>
    <row r="53" spans="1:9" ht="78" customHeight="1">
      <c r="A53" s="2" t="s">
        <v>316</v>
      </c>
      <c r="B53" s="3" t="s">
        <v>311</v>
      </c>
      <c r="C53" s="3" t="s">
        <v>317</v>
      </c>
      <c r="D53" s="3" t="s">
        <v>318</v>
      </c>
      <c r="E53" s="3" t="s">
        <v>319</v>
      </c>
      <c r="F53" s="2" t="s">
        <v>14</v>
      </c>
      <c r="G53" s="2" t="s">
        <v>15</v>
      </c>
      <c r="H53" s="3" t="s">
        <v>189</v>
      </c>
      <c r="I53" s="3" t="s">
        <v>320</v>
      </c>
    </row>
    <row r="54" spans="1:9" ht="78" customHeight="1">
      <c r="A54" s="2" t="s">
        <v>321</v>
      </c>
      <c r="B54" s="3" t="s">
        <v>311</v>
      </c>
      <c r="C54" s="3" t="s">
        <v>322</v>
      </c>
      <c r="D54" s="3" t="s">
        <v>323</v>
      </c>
      <c r="E54" s="3" t="s">
        <v>324</v>
      </c>
      <c r="F54" s="2" t="s">
        <v>14</v>
      </c>
      <c r="G54" s="2" t="s">
        <v>15</v>
      </c>
      <c r="H54" s="3" t="s">
        <v>325</v>
      </c>
      <c r="I54" s="3" t="s">
        <v>326</v>
      </c>
    </row>
    <row r="55" spans="1:9" ht="78" customHeight="1">
      <c r="A55" s="2" t="s">
        <v>327</v>
      </c>
      <c r="B55" s="3" t="s">
        <v>311</v>
      </c>
      <c r="C55" s="3" t="s">
        <v>328</v>
      </c>
      <c r="D55" s="3" t="s">
        <v>329</v>
      </c>
      <c r="E55" s="3" t="s">
        <v>330</v>
      </c>
      <c r="F55" s="2" t="s">
        <v>14</v>
      </c>
      <c r="G55" s="2" t="s">
        <v>15</v>
      </c>
      <c r="H55" s="3" t="s">
        <v>189</v>
      </c>
      <c r="I55" s="3" t="s">
        <v>331</v>
      </c>
    </row>
    <row r="56" spans="1:9" ht="78" customHeight="1">
      <c r="A56" s="2" t="s">
        <v>332</v>
      </c>
      <c r="B56" s="3" t="s">
        <v>333</v>
      </c>
      <c r="C56" s="3" t="s">
        <v>334</v>
      </c>
      <c r="D56" s="3" t="s">
        <v>335</v>
      </c>
      <c r="E56" s="3" t="s">
        <v>336</v>
      </c>
      <c r="F56" s="2" t="s">
        <v>14</v>
      </c>
      <c r="G56" s="2" t="s">
        <v>15</v>
      </c>
      <c r="H56" s="3" t="s">
        <v>337</v>
      </c>
      <c r="I56" s="3" t="s">
        <v>338</v>
      </c>
    </row>
    <row r="57" spans="1:9" ht="78" customHeight="1">
      <c r="A57" s="2" t="s">
        <v>339</v>
      </c>
      <c r="B57" s="3" t="s">
        <v>333</v>
      </c>
      <c r="C57" s="3" t="s">
        <v>340</v>
      </c>
      <c r="D57" s="3" t="s">
        <v>341</v>
      </c>
      <c r="E57" s="3" t="s">
        <v>342</v>
      </c>
      <c r="F57" s="2" t="s">
        <v>14</v>
      </c>
      <c r="G57" s="2" t="s">
        <v>40</v>
      </c>
      <c r="H57" s="3" t="s">
        <v>343</v>
      </c>
      <c r="I57" s="3" t="s">
        <v>344</v>
      </c>
    </row>
    <row r="58" spans="1:9" ht="78" customHeight="1">
      <c r="A58" s="2" t="s">
        <v>345</v>
      </c>
      <c r="B58" s="3" t="s">
        <v>333</v>
      </c>
      <c r="C58" s="3" t="s">
        <v>346</v>
      </c>
      <c r="D58" s="3" t="s">
        <v>347</v>
      </c>
      <c r="E58" s="3" t="s">
        <v>348</v>
      </c>
      <c r="F58" s="2" t="s">
        <v>14</v>
      </c>
      <c r="G58" s="2" t="s">
        <v>15</v>
      </c>
      <c r="H58" s="3" t="s">
        <v>349</v>
      </c>
      <c r="I58" s="3" t="s">
        <v>350</v>
      </c>
    </row>
    <row r="59" spans="1:9" ht="78" customHeight="1">
      <c r="A59" s="2" t="s">
        <v>351</v>
      </c>
      <c r="B59" s="3" t="s">
        <v>333</v>
      </c>
      <c r="C59" s="3" t="s">
        <v>352</v>
      </c>
      <c r="D59" s="3" t="s">
        <v>353</v>
      </c>
      <c r="E59" s="3" t="s">
        <v>354</v>
      </c>
      <c r="F59" s="2" t="s">
        <v>14</v>
      </c>
      <c r="G59" s="2" t="s">
        <v>15</v>
      </c>
      <c r="H59" s="3" t="s">
        <v>355</v>
      </c>
      <c r="I59" s="3" t="s">
        <v>356</v>
      </c>
    </row>
    <row r="60" spans="1:9" ht="78" customHeight="1">
      <c r="A60" s="2" t="s">
        <v>357</v>
      </c>
      <c r="B60" s="3" t="s">
        <v>333</v>
      </c>
      <c r="C60" s="3" t="s">
        <v>358</v>
      </c>
      <c r="D60" s="3" t="s">
        <v>359</v>
      </c>
      <c r="E60" s="3" t="s">
        <v>360</v>
      </c>
      <c r="F60" s="2" t="s">
        <v>14</v>
      </c>
      <c r="G60" s="2" t="s">
        <v>72</v>
      </c>
      <c r="H60" s="3" t="s">
        <v>361</v>
      </c>
      <c r="I60" s="3" t="s">
        <v>362</v>
      </c>
    </row>
    <row r="61" spans="1:9" ht="78" customHeight="1">
      <c r="A61" s="2" t="s">
        <v>363</v>
      </c>
      <c r="B61" s="3" t="s">
        <v>364</v>
      </c>
      <c r="C61" s="3" t="s">
        <v>365</v>
      </c>
      <c r="D61" s="3" t="s">
        <v>366</v>
      </c>
      <c r="E61" s="3" t="s">
        <v>367</v>
      </c>
      <c r="F61" s="2" t="s">
        <v>14</v>
      </c>
      <c r="G61" s="2" t="s">
        <v>40</v>
      </c>
      <c r="H61" s="3" t="s">
        <v>368</v>
      </c>
      <c r="I61" s="3" t="s">
        <v>369</v>
      </c>
    </row>
    <row r="62" spans="1:9" ht="78" customHeight="1">
      <c r="A62" s="2" t="s">
        <v>370</v>
      </c>
      <c r="B62" s="3" t="s">
        <v>364</v>
      </c>
      <c r="C62" s="3" t="s">
        <v>371</v>
      </c>
      <c r="D62" s="3" t="s">
        <v>372</v>
      </c>
      <c r="E62" s="3" t="s">
        <v>373</v>
      </c>
      <c r="F62" s="2" t="s">
        <v>14</v>
      </c>
      <c r="G62" s="2" t="s">
        <v>72</v>
      </c>
      <c r="H62" s="3" t="s">
        <v>374</v>
      </c>
      <c r="I62" s="3" t="s">
        <v>375</v>
      </c>
    </row>
    <row r="63" spans="1:9" ht="78" customHeight="1">
      <c r="A63" s="2" t="s">
        <v>376</v>
      </c>
      <c r="B63" s="3" t="s">
        <v>364</v>
      </c>
      <c r="C63" s="3" t="s">
        <v>377</v>
      </c>
      <c r="D63" s="3" t="s">
        <v>378</v>
      </c>
      <c r="E63" s="3" t="s">
        <v>379</v>
      </c>
      <c r="F63" s="2" t="s">
        <v>14</v>
      </c>
      <c r="G63" s="2" t="s">
        <v>40</v>
      </c>
      <c r="H63" s="3" t="s">
        <v>380</v>
      </c>
      <c r="I63" s="3" t="s">
        <v>381</v>
      </c>
    </row>
  </sheetData>
  <conditionalFormatting sqref="F2:F63">
    <cfRule type="expression" dxfId="8" priority="1">
      <formula>$F2="Pending"</formula>
    </cfRule>
    <cfRule type="expression" dxfId="7" priority="2">
      <formula>$F2="In Progress"</formula>
    </cfRule>
    <cfRule type="expression" dxfId="6" priority="3">
      <formula>$F2="Completed"</formula>
    </cfRule>
    <cfRule type="expression" dxfId="5" priority="4">
      <formula>$F2="Blocked"</formula>
    </cfRule>
    <cfRule type="expression" dxfId="4" priority="5">
      <formula>$F2="Dependency"</formula>
    </cfRule>
    <cfRule type="expression" dxfId="3" priority="6">
      <formula>$F2="Cancelled"</formula>
    </cfRule>
  </conditionalFormatting>
  <conditionalFormatting sqref="G2:G63">
    <cfRule type="expression" dxfId="2" priority="7">
      <formula>$G2="High"</formula>
    </cfRule>
    <cfRule type="expression" dxfId="1" priority="8">
      <formula>$G2="Medium"</formula>
    </cfRule>
    <cfRule type="expression" dxfId="0" priority="9">
      <formula>$G2="Low"</formula>
    </cfRule>
  </conditionalFormatting>
  <dataValidations count="2">
    <dataValidation type="list" sqref="F2:F63" xr:uid="{00000000-0002-0000-0000-000000000000}">
      <formula1>"Pending,In Progress,Completed,Blocked,Dependency,Cancelled"</formula1>
    </dataValidation>
    <dataValidation type="list" sqref="G2:G63" xr:uid="{00000000-0002-0000-0000-000001000000}">
      <formula1>"High,Medium,Low"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tabSelected="1" workbookViewId="0"/>
  </sheetViews>
  <sheetFormatPr defaultRowHeight="15"/>
  <cols>
    <col min="1" max="1" width="22" customWidth="1"/>
    <col min="2" max="2" width="14" customWidth="1"/>
  </cols>
  <sheetData>
    <row r="1" spans="1:2">
      <c r="A1" s="4" t="s">
        <v>5</v>
      </c>
      <c r="B1" s="4" t="s">
        <v>382</v>
      </c>
    </row>
    <row r="2" spans="1:2">
      <c r="A2" s="5" t="s">
        <v>14</v>
      </c>
      <c r="B2" s="5">
        <f>COUNTIF('Requirements Tracker'!$F:$F,A2)</f>
        <v>62</v>
      </c>
    </row>
    <row r="3" spans="1:2">
      <c r="A3" s="5" t="s">
        <v>383</v>
      </c>
      <c r="B3" s="5">
        <f>COUNTIF('Requirements Tracker'!$F:$F,A3)</f>
        <v>0</v>
      </c>
    </row>
    <row r="4" spans="1:2">
      <c r="A4" s="5" t="s">
        <v>384</v>
      </c>
      <c r="B4" s="5">
        <f>COUNTIF('Requirements Tracker'!$F:$F,A4)</f>
        <v>0</v>
      </c>
    </row>
    <row r="5" spans="1:2">
      <c r="A5" s="5" t="s">
        <v>385</v>
      </c>
      <c r="B5" s="5">
        <f>COUNTIF('Requirements Tracker'!$F:$F,A5)</f>
        <v>0</v>
      </c>
    </row>
    <row r="6" spans="1:2">
      <c r="A6" s="5" t="s">
        <v>386</v>
      </c>
      <c r="B6" s="5">
        <f>COUNTIF('Requirements Tracker'!$F:$F,A6)</f>
        <v>0</v>
      </c>
    </row>
    <row r="7" spans="1:2">
      <c r="A7" s="5" t="s">
        <v>387</v>
      </c>
      <c r="B7" s="5">
        <f>COUNTIF('Requirements Tracker'!$F:$F,A7)</f>
        <v>0</v>
      </c>
    </row>
    <row r="8" spans="1:2">
      <c r="A8" s="5" t="s">
        <v>388</v>
      </c>
      <c r="B8" s="5">
        <f>SUM(B2:B7)</f>
        <v>62</v>
      </c>
    </row>
    <row r="9" spans="1:2">
      <c r="A9" s="6"/>
      <c r="B9" s="6"/>
    </row>
    <row r="10" spans="1:2">
      <c r="A10" s="5" t="s">
        <v>6</v>
      </c>
      <c r="B10" s="5" t="s">
        <v>382</v>
      </c>
    </row>
    <row r="11" spans="1:2">
      <c r="A11" s="5" t="s">
        <v>15</v>
      </c>
      <c r="B11" s="5">
        <f>COUNTIF('Requirements Tracker'!$G:$G,A11)</f>
        <v>41</v>
      </c>
    </row>
    <row r="12" spans="1:2">
      <c r="A12" s="5" t="s">
        <v>72</v>
      </c>
      <c r="B12" s="5">
        <f>COUNTIF('Requirements Tracker'!$G:$G,A12)</f>
        <v>15</v>
      </c>
    </row>
    <row r="13" spans="1:2">
      <c r="A13" s="5" t="s">
        <v>40</v>
      </c>
      <c r="B13" s="5">
        <f>COUNTIF('Requirements Tracker'!$G:$G,A13)</f>
        <v>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>
      <selection activeCell="A2" sqref="A2"/>
    </sheetView>
  </sheetViews>
  <sheetFormatPr defaultRowHeight="15"/>
  <cols>
    <col min="1" max="1" width="18" customWidth="1"/>
    <col min="2" max="2" width="120" customWidth="1"/>
  </cols>
  <sheetData>
    <row r="1" spans="1:2">
      <c r="A1" s="4" t="s">
        <v>389</v>
      </c>
      <c r="B1" s="4" t="s">
        <v>390</v>
      </c>
    </row>
    <row r="2" spans="1:2">
      <c r="A2" s="3" t="s">
        <v>391</v>
      </c>
      <c r="B2" s="3" t="s">
        <v>392</v>
      </c>
    </row>
    <row r="3" spans="1:2">
      <c r="A3" s="3" t="s">
        <v>393</v>
      </c>
      <c r="B3" s="3" t="s">
        <v>394</v>
      </c>
    </row>
    <row r="4" spans="1:2">
      <c r="A4" s="3" t="s">
        <v>395</v>
      </c>
      <c r="B4" s="3" t="s">
        <v>396</v>
      </c>
    </row>
    <row r="5" spans="1:2">
      <c r="A5" s="3" t="s">
        <v>397</v>
      </c>
      <c r="B5" s="3" t="s">
        <v>398</v>
      </c>
    </row>
    <row r="6" spans="1:2">
      <c r="A6" s="3" t="s">
        <v>399</v>
      </c>
      <c r="B6" s="3" t="s">
        <v>400</v>
      </c>
    </row>
    <row r="7" spans="1:2">
      <c r="A7" s="3" t="s">
        <v>401</v>
      </c>
      <c r="B7" s="3" t="s">
        <v>402</v>
      </c>
    </row>
    <row r="8" spans="1:2">
      <c r="A8" s="3" t="s">
        <v>403</v>
      </c>
      <c r="B8" s="3" t="s">
        <v>404</v>
      </c>
    </row>
    <row r="9" spans="1:2">
      <c r="A9" s="3" t="s">
        <v>405</v>
      </c>
      <c r="B9" s="3" t="s">
        <v>406</v>
      </c>
    </row>
    <row r="10" spans="1:2">
      <c r="A10" s="3" t="s">
        <v>407</v>
      </c>
      <c r="B10" s="3" t="s">
        <v>408</v>
      </c>
    </row>
    <row r="11" spans="1:2">
      <c r="A11" s="3" t="s">
        <v>409</v>
      </c>
      <c r="B11" s="3" t="s">
        <v>410</v>
      </c>
    </row>
    <row r="12" spans="1:2">
      <c r="A12" s="3" t="s">
        <v>411</v>
      </c>
      <c r="B12" s="3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IAM Automation Software Requirements Tracker</dc:title>
  <dc:subject>Requirements tracker with user stories and statuses</dc:subject>
  <dc:creator>Sofia Moya Bermudez</dc:creator>
  <cp:keywords/>
  <dc:description/>
  <cp:lastModifiedBy/>
  <cp:revision/>
  <dcterms:created xsi:type="dcterms:W3CDTF">2026-07-24T03:27:57Z</dcterms:created>
  <dcterms:modified xsi:type="dcterms:W3CDTF">2026-07-24T13:50:27Z</dcterms:modified>
  <cp:category/>
  <cp:contentStatus/>
</cp:coreProperties>
</file>